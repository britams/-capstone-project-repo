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정산보고서" sheetId="1" state="visible" r:id="rId3"/>
    <sheet name="제품사진" sheetId="2" state="visible" r:id="rId4"/>
    <sheet name="작성요령" sheetId="3" state="visible" r:id="rId5"/>
  </sheets>
  <definedNames>
    <definedName function="false" hidden="false" localSheetId="0" name="_xlnm.Print_Titles" vbProcedure="false">정산보고서!$7:$7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2026 </t>
        </r>
        <r>
          <rPr>
            <sz val="10"/>
            <rFont val="Noto Sans CJK SC"/>
            <family val="2"/>
          </rPr>
          <t xml:space="preserve">천안공과대학 창의융합 경진대회 설명회 자료 </t>
        </r>
        <r>
          <rPr>
            <sz val="10"/>
            <rFont val="Arial"/>
            <family val="2"/>
          </rPr>
          <t xml:space="preserve">"</t>
        </r>
        <r>
          <rPr>
            <sz val="10"/>
            <rFont val="Noto Sans CJK SC"/>
            <family val="2"/>
          </rPr>
          <t xml:space="preserve">재료비 정산 안내</t>
        </r>
        <r>
          <rPr>
            <sz val="10"/>
            <rFont val="Arial"/>
            <family val="2"/>
          </rPr>
          <t xml:space="preserve">": </t>
        </r>
        <r>
          <rPr>
            <sz val="10"/>
            <rFont val="Noto Sans CJK SC"/>
            <family val="2"/>
          </rPr>
          <t xml:space="preserve">지원금 </t>
        </r>
        <r>
          <rPr>
            <sz val="10"/>
            <rFont val="Arial"/>
            <family val="2"/>
          </rPr>
          <t xml:space="preserve">50</t>
        </r>
        <r>
          <rPr>
            <sz val="10"/>
            <rFont val="Noto Sans CJK SC"/>
            <family val="2"/>
          </rPr>
          <t xml:space="preserve">만 원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초과 불가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<sst xmlns="http://schemas.openxmlformats.org/spreadsheetml/2006/main" count="121" uniqueCount="93">
  <si>
    <r>
      <rPr>
        <b val="true"/>
        <sz val="15"/>
        <rFont val="맑은 고딕"/>
        <family val="0"/>
        <charset val="1"/>
      </rPr>
      <t xml:space="preserve">2026 </t>
    </r>
    <r>
      <rPr>
        <b val="true"/>
        <sz val="15"/>
        <rFont val="Noto Sans CJK SC"/>
        <family val="2"/>
      </rPr>
      <t xml:space="preserve">천안공과대학 창의융합 경진대회 — 재료비 정산보고서</t>
    </r>
  </si>
  <si>
    <t xml:space="preserve">팀명</t>
  </si>
  <si>
    <t xml:space="preserve">초벌</t>
  </si>
  <si>
    <t xml:space="preserve">과제명</t>
  </si>
  <si>
    <t xml:space="preserve">말벌 자동 마킹 트랩 (상용 트랩 레트로핏 모듈)</t>
  </si>
  <si>
    <t xml:space="preserve">팀장</t>
  </si>
  <si>
    <t xml:space="preserve">이서현</t>
  </si>
  <si>
    <t xml:space="preserve">정산 담당</t>
  </si>
  <si>
    <t xml:space="preserve">이승준</t>
  </si>
  <si>
    <t xml:space="preserve">작성일</t>
  </si>
  <si>
    <t xml:space="preserve">지원 한도 (원)</t>
  </si>
  <si>
    <t xml:space="preserve">집행 합계 (원)</t>
  </si>
  <si>
    <t xml:space="preserve">잔액</t>
  </si>
  <si>
    <t xml:space="preserve">상태</t>
  </si>
  <si>
    <t xml:space="preserve">입력 방법: 노란 칸만 입력 (파란 글씨). 금액·합계·잔액은 자동 계산. 회색 "예시" 줄은 형식 참고용이라 합계에 안 들어감. 순번 = 영수증 붙이는 순서 = 제품사진 시트 순서. 영수증 하나에 여러 줄(상품·배송비)이면 같은 영수증 번호(R-01 등)를 적음.</t>
  </si>
  <si>
    <t xml:space="preserve">순번</t>
  </si>
  <si>
    <t xml:space="preserve">구매일</t>
  </si>
  <si>
    <t xml:space="preserve">구매처</t>
  </si>
  <si>
    <t xml:space="preserve">품목명</t>
  </si>
  <si>
    <t xml:space="preserve">규격·모델</t>
  </si>
  <si>
    <t xml:space="preserve">수량</t>
  </si>
  <si>
    <t xml:space="preserve">단가 (원)</t>
  </si>
  <si>
    <t xml:space="preserve">금액 (원)</t>
  </si>
  <si>
    <t xml:space="preserve">용도 (도면부호)</t>
  </si>
  <si>
    <t xml:space="preserve">영수증 번호</t>
  </si>
  <si>
    <t xml:space="preserve">제품 사진</t>
  </si>
  <si>
    <t xml:space="preserve">국내·신품 확인</t>
  </si>
  <si>
    <t xml:space="preserve">비고</t>
  </si>
  <si>
    <t xml:space="preserve">예시</t>
  </si>
  <si>
    <t xml:space="preserve">2026-10-29</t>
  </si>
  <si>
    <t xml:space="preserve">쿠팡 (로켓배송)</t>
  </si>
  <si>
    <t xml:space="preserve">샤피 크리에이티브 수성 아크릴 마커 5색</t>
  </si>
  <si>
    <t xml:space="preserve">불렛 팁, 수성 아크릴</t>
  </si>
  <si>
    <t xml:space="preserve">마커 201 — 말벌 흉부 표식 잉크 (노랑)</t>
  </si>
  <si>
    <r>
      <rPr>
        <i val="true"/>
        <sz val="11"/>
        <color rgb="FF808080"/>
        <rFont val="맑은 고딕"/>
        <family val="0"/>
        <charset val="1"/>
      </rPr>
      <t xml:space="preserve">R-</t>
    </r>
    <r>
      <rPr>
        <i val="true"/>
        <sz val="11"/>
        <color rgb="FF808080"/>
        <rFont val="Noto Sans CJK SC"/>
        <family val="2"/>
      </rPr>
      <t xml:space="preserve">예시</t>
    </r>
  </si>
  <si>
    <t xml:space="preserve">사진 예시</t>
  </si>
  <si>
    <t xml:space="preserve">O</t>
  </si>
  <si>
    <t xml:space="preserve">형식 참고용 — 합계 제외</t>
  </si>
  <si>
    <t xml:space="preserve">불로양봉원 (네이버페이)</t>
  </si>
  <si>
    <t xml:space="preserve">말벌포획기 B형 (본체 + 유인액 2병)</t>
  </si>
  <si>
    <t xml:space="preserve">상용 트랩 「야생 말벌 포획기」</t>
  </si>
  <si>
    <t xml:space="preserve">레트로핏 모듈의 바탕 상용 트랩 — 포획통을 격리함으로 사용, 설계 실측·표본 채집</t>
  </si>
  <si>
    <t xml:space="preserve">영수증1</t>
  </si>
  <si>
    <t xml:space="preserve">배송비</t>
  </si>
  <si>
    <t xml:space="preserve">—</t>
  </si>
  <si>
    <t xml:space="preserve">위 품목 배송</t>
  </si>
  <si>
    <t xml:space="preserve">배송비 인정 여부 확인 필요</t>
  </si>
  <si>
    <t xml:space="preserve">디바이스마트 (네이버페이)</t>
  </si>
  <si>
    <t xml:space="preserve">라즈베리파이 27W USB-C 아답터 검은색 (공식 정품)</t>
  </si>
  <si>
    <r>
      <rPr>
        <sz val="11"/>
        <color rgb="FF0000FF"/>
        <rFont val="맑은 고딕"/>
        <family val="0"/>
        <charset val="1"/>
      </rPr>
      <t xml:space="preserve">5.1V 5A, </t>
    </r>
    <r>
      <rPr>
        <sz val="11"/>
        <color rgb="FF0000FF"/>
        <rFont val="Noto Sans CJK SC"/>
        <family val="2"/>
      </rPr>
      <t xml:space="preserve">케이블 일체</t>
    </r>
  </si>
  <si>
    <t xml:space="preserve">제어부 190 — Pi 5 + AI HAT+ + 카메라 전원</t>
  </si>
  <si>
    <t xml:space="preserve">영수증2</t>
  </si>
  <si>
    <t xml:space="preserve">영수증에 "외 1건"으로만 표시 → 주문 상세 캡처를 세부내역으로 첨부</t>
  </si>
  <si>
    <t xml:space="preserve">라즈베리파이5 액티브 쿨러 (정품)</t>
  </si>
  <si>
    <t xml:space="preserve">Raspberry Pi Active Cooler</t>
  </si>
  <si>
    <t xml:space="preserve">제어부 190 — Pi 5 방열 (AI HAT+ 아래)</t>
  </si>
  <si>
    <r>
      <rPr>
        <sz val="11"/>
        <color rgb="FF0000FF"/>
        <rFont val="맑은 고딕"/>
        <family val="0"/>
        <charset val="1"/>
      </rPr>
      <t xml:space="preserve">R-02 </t>
    </r>
    <r>
      <rPr>
        <sz val="11"/>
        <color rgb="FF0000FF"/>
        <rFont val="Noto Sans CJK SC"/>
        <family val="2"/>
      </rPr>
      <t xml:space="preserve">영수증에 품목명 없음 → 주문 상세 캡처로 증빙</t>
    </r>
  </si>
  <si>
    <t xml:space="preserve">하멜른 (네이버페이)</t>
  </si>
  <si>
    <t xml:space="preserve">등검은말벌 표본 Vespa velutina — 국산 액침표본</t>
  </si>
  <si>
    <t xml:space="preserve">액침표본</t>
  </si>
  <si>
    <t xml:space="preserve">설계 실측(흉부 폭·몸 높이), 마킹·검출 시험(J4·J8), VespAI 재학습 사진</t>
  </si>
  <si>
    <t xml:space="preserve">영수증3</t>
  </si>
  <si>
    <t xml:space="preserve">표본이 "재료"로 인정되는지 확인 필요. 상품 주문 21,000원(7개)</t>
  </si>
  <si>
    <t xml:space="preserve">하멜른</t>
  </si>
  <si>
    <t xml:space="preserve">월드크린 테프론 테이프 4m</t>
  </si>
  <si>
    <t xml:space="preserve">PTFE 테이프, 4 m</t>
  </si>
  <si>
    <t xml:space="preserve">마커 잉크 부착 시험(J9) 시편 — 말벌 몸 표면처럼 잘 안 붙는 표면 대용</t>
  </si>
  <si>
    <t xml:space="preserve">영수증5</t>
  </si>
  <si>
    <t xml:space="preserve">영수증5 = 거래명세표(PDF) + 카드영수증(캡처, 카드번호 일부 보임 → 레포 X)</t>
  </si>
  <si>
    <t xml:space="preserve">샤피 크리에이티브 수성 마커 총알팁 12색</t>
  </si>
  <si>
    <t xml:space="preserve">수성 아크릴, 불렛(총알) 팁, 12색 1세트</t>
  </si>
  <si>
    <t xml:space="preserve">마커 201 — 말벌 흉부 표식 잉크 (노랑 사용), 점 크기·건조 시험(J9)</t>
  </si>
  <si>
    <t xml:space="preserve">영수증6</t>
  </si>
  <si>
    <t xml:space="preserve">영수증6은 개인 물품 3개와 함께 주문 — 이 품목만 청구(1행). 주문 할인 2,900원은 여러 개 같이 사서 붙은 할인 → 샤피는 18,870원으로 청구 (승준 판단 10/29)</t>
  </si>
  <si>
    <t xml:space="preserve">합계</t>
  </si>
  <si>
    <t xml:space="preserve">제품 사진 (정산보고서 필수) — 순번별로 받은 물건 사진을 C열 칸에 붙임</t>
  </si>
  <si>
    <t xml:space="preserve">사진 (여기에 붙이기)</t>
  </si>
  <si>
    <t xml:space="preserve">촬영일</t>
  </si>
  <si>
    <t xml:space="preserve">재료비 정산 규칙 요약 (출처: 2026 천안공과대학 창의융합 경진대회 설명회 자료)</t>
  </si>
  <si>
    <t xml:space="preserve">지원 한도 50만 원, 초과 불가. 과제물 제작에 필요한 재료만 인정.</t>
  </si>
  <si>
    <t xml:space="preserve">불인정: 사무용품(복사용지·볼펜·마우스 등), 전산용품(하드디스크·램·메모리·토너 등), 계속 쓰는 공구(드릴·피펫·전기톱 등).</t>
  </si>
  <si>
    <t xml:space="preserve">해외구매·중고거래 불가. 불인정 항목 집행 또는 서류 미충족 시 재료비 전액 환수.</t>
  </si>
  <si>
    <t xml:space="preserve">정산 금액은 팀장 계좌로 입금 (경진대회 종료 후). 애매한 물품은 설명회 자료상 팀장이 담당자에게 메일로 문의.</t>
  </si>
  <si>
    <t xml:space="preserve">제출 서류 (2026-11-30)</t>
  </si>
  <si>
    <t xml:space="preserve">이 정산보고서(제품 사진 포함) / 과제결과보고서 / 영수증(세부내역 필수) / 재학증명서(팀원 전부) / 통장사본(팀장만)</t>
  </si>
  <si>
    <t xml:space="preserve">영수증</t>
  </si>
  <si>
    <t xml:space="preserve">영수증 붙이는 순서 = 이 표의 순번 순서. 순서가 다르면 영수증에 순번(R-01 등)을 적음.</t>
  </si>
  <si>
    <t xml:space="preserve">세부내역(품목·금액)이 보이는 영수증. 견적서도 가능 — 수신자는 팀장·팀원 이름 (연구실·지도교수님 이름 X). 수기 영수증은 업체 직인 필요.</t>
  </si>
  <si>
    <t xml:space="preserve">주문할 때마다 확인</t>
  </si>
  <si>
    <t xml:space="preserve">□ 국내 판매처·신품인가 (해외 직구, 쿠팡 로켓직구, 중고 X)   □ 사무·전산용품·공구가 아닌가</t>
  </si>
  <si>
    <t xml:space="preserve">□ 세부내역 영수증을 PDF·캡처로 저장했나   □ 물건이 오면 사진을 찍어 제품사진 시트에 붙였나</t>
  </si>
  <si>
    <t xml:space="preserve">파일 정보</t>
  </si>
  <si>
    <t xml:space="preserve">정산 담당 이승준. 레포 purchase/ 폴더에 보관 (영수증 원본·통장사본·재학증명서는 개인정보라 레포에 올리지 않음).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</si>
</sst>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;\(#,##0\);\-"/>
    <numFmt numFmtId="167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맑은 고딕"/>
      <family val="0"/>
      <charset val="1"/>
    </font>
    <font>
      <b val="true"/>
      <sz val="15"/>
      <name val="Noto Sans CJK SC"/>
      <family val="2"/>
    </font>
    <font>
      <b val="true"/>
      <sz val="11"/>
      <name val="Noto Sans CJK SC"/>
      <family val="2"/>
      <charset val="1"/>
    </font>
    <font>
      <sz val="11"/>
      <color rgb="FF0000FF"/>
      <name val="Noto Sans CJK SC"/>
      <family val="2"/>
      <charset val="1"/>
    </font>
    <font>
      <sz val="11"/>
      <color rgb="FF0000FF"/>
      <name val="맑은 고딕"/>
      <family val="0"/>
      <charset val="1"/>
    </font>
    <font>
      <b val="true"/>
      <sz val="11"/>
      <color rgb="FF0000FF"/>
      <name val="맑은 고딕"/>
      <family val="0"/>
      <charset val="1"/>
    </font>
    <font>
      <b val="true"/>
      <sz val="11"/>
      <name val="맑은 고딕"/>
      <family val="0"/>
      <charset val="1"/>
    </font>
    <font>
      <sz val="9"/>
      <color rgb="FF595959"/>
      <name val="Noto Sans CJK SC"/>
      <family val="2"/>
      <charset val="1"/>
    </font>
    <font>
      <i val="true"/>
      <sz val="11"/>
      <color rgb="FF808080"/>
      <name val="Noto Sans CJK SC"/>
      <family val="2"/>
      <charset val="1"/>
    </font>
    <font>
      <i val="true"/>
      <sz val="11"/>
      <color rgb="FF808080"/>
      <name val="맑은 고딕"/>
      <family val="0"/>
      <charset val="1"/>
    </font>
    <font>
      <i val="true"/>
      <sz val="11"/>
      <color rgb="FF808080"/>
      <name val="Noto Sans CJK SC"/>
      <family val="2"/>
    </font>
    <font>
      <sz val="11"/>
      <name val="맑은 고딕"/>
      <family val="0"/>
      <charset val="1"/>
    </font>
    <font>
      <sz val="11"/>
      <color rgb="FF0000FF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 val="true"/>
      <sz val="13"/>
      <name val="Noto Sans CJK SC"/>
      <family val="2"/>
      <charset val="1"/>
    </font>
    <font>
      <sz val="11"/>
      <color rgb="FF008000"/>
      <name val="맑은 고딕"/>
      <family val="0"/>
      <charset val="1"/>
    </font>
    <font>
      <sz val="11"/>
      <color rgb="FF008000"/>
      <name val="Noto Sans CJK SC"/>
      <family val="2"/>
      <charset val="1"/>
    </font>
    <font>
      <b val="true"/>
      <sz val="12"/>
      <name val="Noto Sans CJK SC"/>
      <family val="2"/>
      <charset val="1"/>
    </font>
    <font>
      <sz val="11"/>
      <name val="Noto Sans CJK SC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30"/>
    <col collapsed="false" customWidth="true" hidden="false" outlineLevel="0" max="5" min="5" style="1" width="22"/>
    <col collapsed="false" customWidth="true" hidden="false" outlineLevel="0" max="6" min="6" style="1" width="7"/>
    <col collapsed="false" customWidth="true" hidden="false" outlineLevel="0" max="7" min="7" style="1" width="12"/>
    <col collapsed="false" customWidth="true" hidden="false" outlineLevel="0" max="8" min="8" style="1" width="13"/>
    <col collapsed="false" customWidth="true" hidden="false" outlineLevel="0" max="9" min="9" style="1" width="26"/>
    <col collapsed="false" customWidth="true" hidden="false" outlineLevel="0" max="11" min="10" style="1" width="11"/>
    <col collapsed="false" customWidth="true" hidden="false" outlineLevel="0" max="12" min="12" style="1" width="12"/>
    <col collapsed="false" customWidth="true" hidden="false" outlineLevel="0" max="13" min="13" style="1" width="22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9.25" hidden="false" customHeight="true" outlineLevel="0" collapsed="false">
      <c r="A2" s="3" t="s">
        <v>1</v>
      </c>
      <c r="B2" s="4" t="s">
        <v>2</v>
      </c>
      <c r="C2" s="3" t="s">
        <v>3</v>
      </c>
      <c r="D2" s="4" t="s">
        <v>4</v>
      </c>
      <c r="E2" s="4"/>
      <c r="F2" s="3" t="s">
        <v>5</v>
      </c>
      <c r="G2" s="4" t="s">
        <v>6</v>
      </c>
      <c r="H2" s="3" t="s">
        <v>7</v>
      </c>
      <c r="I2" s="4" t="s">
        <v>8</v>
      </c>
      <c r="J2" s="3" t="s">
        <v>9</v>
      </c>
      <c r="K2" s="5" t="n">
        <v>46324</v>
      </c>
    </row>
    <row r="4" customFormat="false" ht="16.5" hidden="false" customHeight="true" outlineLevel="0" collapsed="false">
      <c r="A4" s="3" t="s">
        <v>10</v>
      </c>
      <c r="B4" s="3"/>
      <c r="C4" s="6" t="n">
        <v>500000</v>
      </c>
      <c r="D4" s="3" t="s">
        <v>11</v>
      </c>
      <c r="E4" s="7" t="n">
        <f aca="false">SUM(H9:H38)</f>
        <v>130010</v>
      </c>
      <c r="F4" s="3" t="s">
        <v>12</v>
      </c>
      <c r="G4" s="7" t="n">
        <f aca="false">C4-E4</f>
        <v>369990</v>
      </c>
      <c r="H4" s="3" t="s">
        <v>13</v>
      </c>
      <c r="I4" s="8" t="str">
        <f aca="false">IF(E4&gt;C4,"한도 초과 — 줄일 것",IF(E4=0,"아직 구매 없음","정상"))</f>
        <v>정상</v>
      </c>
      <c r="J4" s="8"/>
      <c r="K4" s="8"/>
      <c r="L4" s="8"/>
      <c r="M4" s="8"/>
    </row>
    <row r="5" customFormat="false" ht="30" hidden="false" customHeight="true" outlineLevel="0" collapsed="false">
      <c r="A5" s="9" t="s">
        <v>14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7" customFormat="false" ht="30" hidden="false" customHeight="true" outlineLevel="0" collapsed="false">
      <c r="A7" s="3" t="s">
        <v>15</v>
      </c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  <c r="H7" s="3" t="s">
        <v>22</v>
      </c>
      <c r="I7" s="3" t="s">
        <v>23</v>
      </c>
      <c r="J7" s="3" t="s">
        <v>24</v>
      </c>
      <c r="K7" s="3" t="s">
        <v>25</v>
      </c>
      <c r="L7" s="3" t="s">
        <v>26</v>
      </c>
      <c r="M7" s="3" t="s">
        <v>27</v>
      </c>
    </row>
    <row r="8" customFormat="false" ht="32.25" hidden="false" customHeight="true" outlineLevel="0" collapsed="false">
      <c r="A8" s="10" t="s">
        <v>28</v>
      </c>
      <c r="B8" s="11" t="s">
        <v>29</v>
      </c>
      <c r="C8" s="12" t="s">
        <v>30</v>
      </c>
      <c r="D8" s="12" t="s">
        <v>31</v>
      </c>
      <c r="E8" s="12" t="s">
        <v>32</v>
      </c>
      <c r="F8" s="10" t="n">
        <v>1</v>
      </c>
      <c r="G8" s="13" t="n">
        <v>8600</v>
      </c>
      <c r="H8" s="13" t="n">
        <f aca="false">F8*G8</f>
        <v>8600</v>
      </c>
      <c r="I8" s="12" t="s">
        <v>33</v>
      </c>
      <c r="J8" s="11" t="s">
        <v>34</v>
      </c>
      <c r="K8" s="10" t="s">
        <v>35</v>
      </c>
      <c r="L8" s="11" t="s">
        <v>36</v>
      </c>
      <c r="M8" s="12" t="s">
        <v>37</v>
      </c>
    </row>
    <row r="9" customFormat="false" ht="48" hidden="false" customHeight="true" outlineLevel="0" collapsed="false">
      <c r="A9" s="14" t="n">
        <v>1</v>
      </c>
      <c r="B9" s="15" t="n">
        <v>46305</v>
      </c>
      <c r="C9" s="4" t="s">
        <v>38</v>
      </c>
      <c r="D9" s="4" t="s">
        <v>39</v>
      </c>
      <c r="E9" s="4" t="s">
        <v>40</v>
      </c>
      <c r="F9" s="16" t="n">
        <v>1</v>
      </c>
      <c r="G9" s="17" t="n">
        <v>54000</v>
      </c>
      <c r="H9" s="18" t="n">
        <f aca="false">IF(AND(F9&lt;&gt;"",G9&lt;&gt;""),F9*G9,"")</f>
        <v>54000</v>
      </c>
      <c r="I9" s="4" t="s">
        <v>41</v>
      </c>
      <c r="J9" s="19" t="s">
        <v>42</v>
      </c>
      <c r="K9" s="14" t="str">
        <f aca="false">"사진 "&amp;A9</f>
        <v>사진 1</v>
      </c>
      <c r="L9" s="16" t="s">
        <v>36</v>
      </c>
      <c r="M9" s="4"/>
    </row>
    <row r="10" customFormat="false" ht="32.25" hidden="false" customHeight="true" outlineLevel="0" collapsed="false">
      <c r="A10" s="14" t="n">
        <v>2</v>
      </c>
      <c r="B10" s="15" t="n">
        <v>46305</v>
      </c>
      <c r="C10" s="4" t="s">
        <v>38</v>
      </c>
      <c r="D10" s="4" t="s">
        <v>43</v>
      </c>
      <c r="E10" s="20" t="s">
        <v>44</v>
      </c>
      <c r="F10" s="16" t="n">
        <v>1</v>
      </c>
      <c r="G10" s="17" t="n">
        <v>3800</v>
      </c>
      <c r="H10" s="18" t="n">
        <f aca="false">IF(AND(F10&lt;&gt;"",G10&lt;&gt;""),F10*G10,"")</f>
        <v>3800</v>
      </c>
      <c r="I10" s="4" t="s">
        <v>45</v>
      </c>
      <c r="J10" s="19" t="s">
        <v>42</v>
      </c>
      <c r="K10" s="14" t="str">
        <f aca="false">"사진 "&amp;A10</f>
        <v>사진 2</v>
      </c>
      <c r="L10" s="16" t="s">
        <v>36</v>
      </c>
      <c r="M10" s="4" t="s">
        <v>46</v>
      </c>
    </row>
    <row r="11" customFormat="false" ht="48" hidden="false" customHeight="true" outlineLevel="0" collapsed="false">
      <c r="A11" s="14" t="n">
        <v>3</v>
      </c>
      <c r="B11" s="15" t="n">
        <v>46323</v>
      </c>
      <c r="C11" s="4" t="s">
        <v>47</v>
      </c>
      <c r="D11" s="4" t="s">
        <v>48</v>
      </c>
      <c r="E11" s="20" t="s">
        <v>49</v>
      </c>
      <c r="F11" s="16" t="n">
        <v>1</v>
      </c>
      <c r="G11" s="17" t="n">
        <v>18040</v>
      </c>
      <c r="H11" s="18" t="n">
        <f aca="false">IF(AND(F11&lt;&gt;"",G11&lt;&gt;""),F11*G11,"")</f>
        <v>18040</v>
      </c>
      <c r="I11" s="4" t="s">
        <v>50</v>
      </c>
      <c r="J11" s="19" t="s">
        <v>51</v>
      </c>
      <c r="K11" s="14" t="str">
        <f aca="false">"사진 "&amp;A11</f>
        <v>사진 3</v>
      </c>
      <c r="L11" s="16" t="s">
        <v>36</v>
      </c>
      <c r="M11" s="4" t="s">
        <v>52</v>
      </c>
    </row>
    <row r="12" customFormat="false" ht="48" hidden="false" customHeight="true" outlineLevel="0" collapsed="false">
      <c r="A12" s="14" t="n">
        <v>4</v>
      </c>
      <c r="B12" s="15" t="n">
        <v>46323</v>
      </c>
      <c r="C12" s="4" t="s">
        <v>47</v>
      </c>
      <c r="D12" s="4" t="s">
        <v>53</v>
      </c>
      <c r="E12" s="20" t="s">
        <v>54</v>
      </c>
      <c r="F12" s="16" t="n">
        <v>1</v>
      </c>
      <c r="G12" s="17" t="n">
        <v>7700</v>
      </c>
      <c r="H12" s="18" t="n">
        <f aca="false">IF(AND(F12&lt;&gt;"",G12&lt;&gt;""),F12*G12,"")</f>
        <v>7700</v>
      </c>
      <c r="I12" s="4" t="s">
        <v>55</v>
      </c>
      <c r="J12" s="19" t="s">
        <v>51</v>
      </c>
      <c r="K12" s="14" t="str">
        <f aca="false">"사진 "&amp;A12</f>
        <v>사진 4</v>
      </c>
      <c r="L12" s="16" t="s">
        <v>36</v>
      </c>
      <c r="M12" s="20" t="s">
        <v>56</v>
      </c>
    </row>
    <row r="13" customFormat="false" ht="32.25" hidden="false" customHeight="true" outlineLevel="0" collapsed="false">
      <c r="A13" s="14" t="n">
        <v>5</v>
      </c>
      <c r="B13" s="15" t="n">
        <v>46323</v>
      </c>
      <c r="C13" s="4" t="s">
        <v>47</v>
      </c>
      <c r="D13" s="4" t="s">
        <v>43</v>
      </c>
      <c r="E13" s="20" t="s">
        <v>44</v>
      </c>
      <c r="F13" s="16" t="n">
        <v>1</v>
      </c>
      <c r="G13" s="17" t="n">
        <v>2700</v>
      </c>
      <c r="H13" s="18" t="n">
        <f aca="false">IF(AND(F13&lt;&gt;"",G13&lt;&gt;""),F13*G13,"")</f>
        <v>2700</v>
      </c>
      <c r="I13" s="4" t="s">
        <v>45</v>
      </c>
      <c r="J13" s="19" t="s">
        <v>51</v>
      </c>
      <c r="K13" s="14" t="str">
        <f aca="false">"사진 "&amp;A13</f>
        <v>사진 5</v>
      </c>
      <c r="L13" s="16" t="s">
        <v>36</v>
      </c>
      <c r="M13" s="4" t="s">
        <v>46</v>
      </c>
    </row>
    <row r="14" customFormat="false" ht="16.5" hidden="false" customHeight="true" outlineLevel="0" collapsed="false">
      <c r="A14" s="14" t="n">
        <v>6</v>
      </c>
      <c r="B14" s="15" t="n">
        <v>46323</v>
      </c>
      <c r="C14" s="4" t="s">
        <v>57</v>
      </c>
      <c r="D14" s="4" t="s">
        <v>58</v>
      </c>
      <c r="E14" s="4" t="s">
        <v>59</v>
      </c>
      <c r="F14" s="16" t="n">
        <v>7</v>
      </c>
      <c r="G14" s="17" t="n">
        <v>3000</v>
      </c>
      <c r="H14" s="18" t="n">
        <f aca="false">IF(AND(F14&lt;&gt;"",G14&lt;&gt;""),F14*G14,"")</f>
        <v>21000</v>
      </c>
      <c r="I14" s="4" t="s">
        <v>60</v>
      </c>
      <c r="J14" s="19" t="s">
        <v>61</v>
      </c>
      <c r="K14" s="14" t="str">
        <f aca="false">"사진 "&amp;A14</f>
        <v>사진 6</v>
      </c>
      <c r="L14" s="16" t="s">
        <v>36</v>
      </c>
      <c r="M14" s="4" t="s">
        <v>62</v>
      </c>
    </row>
    <row r="15" customFormat="false" ht="16.5" hidden="false" customHeight="true" outlineLevel="0" collapsed="false">
      <c r="A15" s="14" t="n">
        <v>7</v>
      </c>
      <c r="B15" s="15" t="n">
        <v>46323</v>
      </c>
      <c r="C15" s="4" t="s">
        <v>63</v>
      </c>
      <c r="D15" s="4" t="s">
        <v>43</v>
      </c>
      <c r="E15" s="4" t="s">
        <v>44</v>
      </c>
      <c r="F15" s="16" t="n">
        <v>1</v>
      </c>
      <c r="G15" s="17" t="n">
        <v>3000</v>
      </c>
      <c r="H15" s="18" t="n">
        <f aca="false">IF(AND(F15&lt;&gt;"",G15&lt;&gt;""),F15*G15,"")</f>
        <v>3000</v>
      </c>
      <c r="I15" s="4" t="s">
        <v>45</v>
      </c>
      <c r="J15" s="19" t="s">
        <v>61</v>
      </c>
      <c r="K15" s="14" t="str">
        <f aca="false">"사진 "&amp;A15</f>
        <v>사진 7</v>
      </c>
      <c r="L15" s="16" t="s">
        <v>36</v>
      </c>
      <c r="M15" s="4" t="s">
        <v>46</v>
      </c>
    </row>
    <row r="16" customFormat="false" ht="16.5" hidden="false" customHeight="true" outlineLevel="0" collapsed="false">
      <c r="A16" s="14" t="n">
        <v>8</v>
      </c>
      <c r="B16" s="15" t="n">
        <v>46324</v>
      </c>
      <c r="C16" s="4" t="s">
        <v>30</v>
      </c>
      <c r="D16" s="4" t="s">
        <v>64</v>
      </c>
      <c r="E16" s="4" t="s">
        <v>65</v>
      </c>
      <c r="F16" s="16" t="n">
        <v>1</v>
      </c>
      <c r="G16" s="17" t="n">
        <v>900</v>
      </c>
      <c r="H16" s="18" t="n">
        <f aca="false">IF(AND(F16&lt;&gt;"",G16&lt;&gt;""),F16*G16,"")</f>
        <v>900</v>
      </c>
      <c r="I16" s="4" t="s">
        <v>66</v>
      </c>
      <c r="J16" s="19" t="s">
        <v>67</v>
      </c>
      <c r="K16" s="14" t="str">
        <f aca="false">"사진 "&amp;A16</f>
        <v>사진 8</v>
      </c>
      <c r="L16" s="16" t="s">
        <v>36</v>
      </c>
      <c r="M16" s="4" t="s">
        <v>68</v>
      </c>
    </row>
    <row r="17" customFormat="false" ht="16.5" hidden="false" customHeight="true" outlineLevel="0" collapsed="false">
      <c r="A17" s="14" t="n">
        <v>9</v>
      </c>
      <c r="B17" s="15" t="n">
        <v>46324</v>
      </c>
      <c r="C17" s="4" t="s">
        <v>30</v>
      </c>
      <c r="D17" s="4" t="s">
        <v>69</v>
      </c>
      <c r="E17" s="4" t="s">
        <v>70</v>
      </c>
      <c r="F17" s="16" t="n">
        <v>1</v>
      </c>
      <c r="G17" s="17" t="n">
        <v>18870</v>
      </c>
      <c r="H17" s="18" t="n">
        <f aca="false">IF(AND(F17&lt;&gt;"",G17&lt;&gt;""),F17*G17,"")</f>
        <v>18870</v>
      </c>
      <c r="I17" s="4" t="s">
        <v>71</v>
      </c>
      <c r="J17" s="19" t="s">
        <v>72</v>
      </c>
      <c r="K17" s="14" t="str">
        <f aca="false">"사진 "&amp;A17</f>
        <v>사진 9</v>
      </c>
      <c r="L17" s="16" t="s">
        <v>36</v>
      </c>
      <c r="M17" s="4" t="s">
        <v>73</v>
      </c>
    </row>
    <row r="18" customFormat="false" ht="16.5" hidden="false" customHeight="true" outlineLevel="0" collapsed="false">
      <c r="A18" s="14" t="n">
        <v>10</v>
      </c>
      <c r="B18" s="15"/>
      <c r="C18" s="4"/>
      <c r="D18" s="4"/>
      <c r="E18" s="4"/>
      <c r="F18" s="16"/>
      <c r="G18" s="17"/>
      <c r="H18" s="18" t="str">
        <f aca="false">IF(AND(F18&lt;&gt;"",G18&lt;&gt;""),F18*G18,"")</f>
        <v/>
      </c>
      <c r="I18" s="4"/>
      <c r="J18" s="16"/>
      <c r="K18" s="14" t="str">
        <f aca="false">"사진 "&amp;A18</f>
        <v>사진 10</v>
      </c>
      <c r="L18" s="16"/>
      <c r="M18" s="4"/>
    </row>
    <row r="19" customFormat="false" ht="16.5" hidden="false" customHeight="true" outlineLevel="0" collapsed="false">
      <c r="A19" s="14" t="n">
        <v>11</v>
      </c>
      <c r="B19" s="15"/>
      <c r="C19" s="4"/>
      <c r="D19" s="4"/>
      <c r="E19" s="4"/>
      <c r="F19" s="16"/>
      <c r="G19" s="17"/>
      <c r="H19" s="18" t="str">
        <f aca="false">IF(AND(F19&lt;&gt;"",G19&lt;&gt;""),F19*G19,"")</f>
        <v/>
      </c>
      <c r="I19" s="4"/>
      <c r="J19" s="16"/>
      <c r="K19" s="14" t="str">
        <f aca="false">"사진 "&amp;A19</f>
        <v>사진 11</v>
      </c>
      <c r="L19" s="16"/>
      <c r="M19" s="4"/>
    </row>
    <row r="20" customFormat="false" ht="16.5" hidden="false" customHeight="true" outlineLevel="0" collapsed="false">
      <c r="A20" s="14" t="n">
        <v>12</v>
      </c>
      <c r="B20" s="15"/>
      <c r="C20" s="4"/>
      <c r="D20" s="4"/>
      <c r="E20" s="4"/>
      <c r="F20" s="16"/>
      <c r="G20" s="17"/>
      <c r="H20" s="18" t="str">
        <f aca="false">IF(AND(F20&lt;&gt;"",G20&lt;&gt;""),F20*G20,"")</f>
        <v/>
      </c>
      <c r="I20" s="4"/>
      <c r="J20" s="16"/>
      <c r="K20" s="14" t="str">
        <f aca="false">"사진 "&amp;A20</f>
        <v>사진 12</v>
      </c>
      <c r="L20" s="16"/>
      <c r="M20" s="4"/>
    </row>
    <row r="21" customFormat="false" ht="16.5" hidden="false" customHeight="true" outlineLevel="0" collapsed="false">
      <c r="A21" s="14" t="n">
        <v>13</v>
      </c>
      <c r="B21" s="15"/>
      <c r="C21" s="4"/>
      <c r="D21" s="4"/>
      <c r="E21" s="4"/>
      <c r="F21" s="16"/>
      <c r="G21" s="17"/>
      <c r="H21" s="18" t="str">
        <f aca="false">IF(AND(F21&lt;&gt;"",G21&lt;&gt;""),F21*G21,"")</f>
        <v/>
      </c>
      <c r="I21" s="4"/>
      <c r="J21" s="16"/>
      <c r="K21" s="14" t="str">
        <f aca="false">"사진 "&amp;A21</f>
        <v>사진 13</v>
      </c>
      <c r="L21" s="16"/>
      <c r="M21" s="4"/>
    </row>
    <row r="22" customFormat="false" ht="16.5" hidden="false" customHeight="true" outlineLevel="0" collapsed="false">
      <c r="A22" s="14" t="n">
        <v>14</v>
      </c>
      <c r="B22" s="15"/>
      <c r="C22" s="4"/>
      <c r="D22" s="4"/>
      <c r="E22" s="4"/>
      <c r="F22" s="16"/>
      <c r="G22" s="17"/>
      <c r="H22" s="18" t="str">
        <f aca="false">IF(AND(F22&lt;&gt;"",G22&lt;&gt;""),F22*G22,"")</f>
        <v/>
      </c>
      <c r="I22" s="4"/>
      <c r="J22" s="16"/>
      <c r="K22" s="14" t="str">
        <f aca="false">"사진 "&amp;A22</f>
        <v>사진 14</v>
      </c>
      <c r="L22" s="16"/>
      <c r="M22" s="4"/>
    </row>
    <row r="23" customFormat="false" ht="16.5" hidden="false" customHeight="true" outlineLevel="0" collapsed="false">
      <c r="A23" s="14" t="n">
        <v>15</v>
      </c>
      <c r="B23" s="15"/>
      <c r="C23" s="4"/>
      <c r="D23" s="4"/>
      <c r="E23" s="4"/>
      <c r="F23" s="16"/>
      <c r="G23" s="17"/>
      <c r="H23" s="18" t="str">
        <f aca="false">IF(AND(F23&lt;&gt;"",G23&lt;&gt;""),F23*G23,"")</f>
        <v/>
      </c>
      <c r="I23" s="4"/>
      <c r="J23" s="16"/>
      <c r="K23" s="14" t="str">
        <f aca="false">"사진 "&amp;A23</f>
        <v>사진 15</v>
      </c>
      <c r="L23" s="16"/>
      <c r="M23" s="4"/>
    </row>
    <row r="24" customFormat="false" ht="16.5" hidden="false" customHeight="true" outlineLevel="0" collapsed="false">
      <c r="A24" s="14" t="n">
        <v>16</v>
      </c>
      <c r="B24" s="15"/>
      <c r="C24" s="4"/>
      <c r="D24" s="4"/>
      <c r="E24" s="4"/>
      <c r="F24" s="16"/>
      <c r="G24" s="17"/>
      <c r="H24" s="18" t="str">
        <f aca="false">IF(AND(F24&lt;&gt;"",G24&lt;&gt;""),F24*G24,"")</f>
        <v/>
      </c>
      <c r="I24" s="4"/>
      <c r="J24" s="16"/>
      <c r="K24" s="14" t="str">
        <f aca="false">"사진 "&amp;A24</f>
        <v>사진 16</v>
      </c>
      <c r="L24" s="16"/>
      <c r="M24" s="4"/>
    </row>
    <row r="25" customFormat="false" ht="16.5" hidden="false" customHeight="true" outlineLevel="0" collapsed="false">
      <c r="A25" s="14" t="n">
        <v>17</v>
      </c>
      <c r="B25" s="15"/>
      <c r="C25" s="4"/>
      <c r="D25" s="4"/>
      <c r="E25" s="4"/>
      <c r="F25" s="16"/>
      <c r="G25" s="17"/>
      <c r="H25" s="18" t="str">
        <f aca="false">IF(AND(F25&lt;&gt;"",G25&lt;&gt;""),F25*G25,"")</f>
        <v/>
      </c>
      <c r="I25" s="4"/>
      <c r="J25" s="16"/>
      <c r="K25" s="14" t="str">
        <f aca="false">"사진 "&amp;A25</f>
        <v>사진 17</v>
      </c>
      <c r="L25" s="16"/>
      <c r="M25" s="4"/>
    </row>
    <row r="26" customFormat="false" ht="16.5" hidden="false" customHeight="true" outlineLevel="0" collapsed="false">
      <c r="A26" s="14" t="n">
        <v>18</v>
      </c>
      <c r="B26" s="15"/>
      <c r="C26" s="4"/>
      <c r="D26" s="4"/>
      <c r="E26" s="4"/>
      <c r="F26" s="16"/>
      <c r="G26" s="17"/>
      <c r="H26" s="18" t="str">
        <f aca="false">IF(AND(F26&lt;&gt;"",G26&lt;&gt;""),F26*G26,"")</f>
        <v/>
      </c>
      <c r="I26" s="4"/>
      <c r="J26" s="16"/>
      <c r="K26" s="14" t="str">
        <f aca="false">"사진 "&amp;A26</f>
        <v>사진 18</v>
      </c>
      <c r="L26" s="16"/>
      <c r="M26" s="4"/>
    </row>
    <row r="27" customFormat="false" ht="16.5" hidden="false" customHeight="true" outlineLevel="0" collapsed="false">
      <c r="A27" s="14" t="n">
        <v>19</v>
      </c>
      <c r="B27" s="15"/>
      <c r="C27" s="4"/>
      <c r="D27" s="4"/>
      <c r="E27" s="4"/>
      <c r="F27" s="16"/>
      <c r="G27" s="17"/>
      <c r="H27" s="18" t="str">
        <f aca="false">IF(AND(F27&lt;&gt;"",G27&lt;&gt;""),F27*G27,"")</f>
        <v/>
      </c>
      <c r="I27" s="4"/>
      <c r="J27" s="16"/>
      <c r="K27" s="14" t="str">
        <f aca="false">"사진 "&amp;A27</f>
        <v>사진 19</v>
      </c>
      <c r="L27" s="16"/>
      <c r="M27" s="4"/>
    </row>
    <row r="28" customFormat="false" ht="16.5" hidden="false" customHeight="true" outlineLevel="0" collapsed="false">
      <c r="A28" s="14" t="n">
        <v>20</v>
      </c>
      <c r="B28" s="15"/>
      <c r="C28" s="4"/>
      <c r="D28" s="4"/>
      <c r="E28" s="4"/>
      <c r="F28" s="16"/>
      <c r="G28" s="17"/>
      <c r="H28" s="18" t="str">
        <f aca="false">IF(AND(F28&lt;&gt;"",G28&lt;&gt;""),F28*G28,"")</f>
        <v/>
      </c>
      <c r="I28" s="4"/>
      <c r="J28" s="16"/>
      <c r="K28" s="14" t="str">
        <f aca="false">"사진 "&amp;A28</f>
        <v>사진 20</v>
      </c>
      <c r="L28" s="16"/>
      <c r="M28" s="4"/>
    </row>
    <row r="29" customFormat="false" ht="16.5" hidden="false" customHeight="true" outlineLevel="0" collapsed="false">
      <c r="A29" s="14" t="n">
        <v>21</v>
      </c>
      <c r="B29" s="15"/>
      <c r="C29" s="4"/>
      <c r="D29" s="4"/>
      <c r="E29" s="4"/>
      <c r="F29" s="16"/>
      <c r="G29" s="17"/>
      <c r="H29" s="18" t="str">
        <f aca="false">IF(AND(F29&lt;&gt;"",G29&lt;&gt;""),F29*G29,"")</f>
        <v/>
      </c>
      <c r="I29" s="4"/>
      <c r="J29" s="16"/>
      <c r="K29" s="14" t="str">
        <f aca="false">"사진 "&amp;A29</f>
        <v>사진 21</v>
      </c>
      <c r="L29" s="16"/>
      <c r="M29" s="4"/>
    </row>
    <row r="30" customFormat="false" ht="16.5" hidden="false" customHeight="true" outlineLevel="0" collapsed="false">
      <c r="A30" s="14" t="n">
        <v>22</v>
      </c>
      <c r="B30" s="15"/>
      <c r="C30" s="4"/>
      <c r="D30" s="4"/>
      <c r="E30" s="4"/>
      <c r="F30" s="16"/>
      <c r="G30" s="17"/>
      <c r="H30" s="18" t="str">
        <f aca="false">IF(AND(F30&lt;&gt;"",G30&lt;&gt;""),F30*G30,"")</f>
        <v/>
      </c>
      <c r="I30" s="4"/>
      <c r="J30" s="16"/>
      <c r="K30" s="14" t="str">
        <f aca="false">"사진 "&amp;A30</f>
        <v>사진 22</v>
      </c>
      <c r="L30" s="16"/>
      <c r="M30" s="4"/>
    </row>
    <row r="31" customFormat="false" ht="16.5" hidden="false" customHeight="true" outlineLevel="0" collapsed="false">
      <c r="A31" s="14" t="n">
        <v>23</v>
      </c>
      <c r="B31" s="15"/>
      <c r="C31" s="4"/>
      <c r="D31" s="4"/>
      <c r="E31" s="4"/>
      <c r="F31" s="16"/>
      <c r="G31" s="17"/>
      <c r="H31" s="18" t="str">
        <f aca="false">IF(AND(F31&lt;&gt;"",G31&lt;&gt;""),F31*G31,"")</f>
        <v/>
      </c>
      <c r="I31" s="4"/>
      <c r="J31" s="16"/>
      <c r="K31" s="14" t="str">
        <f aca="false">"사진 "&amp;A31</f>
        <v>사진 23</v>
      </c>
      <c r="L31" s="16"/>
      <c r="M31" s="4"/>
    </row>
    <row r="32" customFormat="false" ht="16.5" hidden="false" customHeight="true" outlineLevel="0" collapsed="false">
      <c r="A32" s="14" t="n">
        <v>24</v>
      </c>
      <c r="B32" s="15"/>
      <c r="C32" s="4"/>
      <c r="D32" s="4"/>
      <c r="E32" s="4"/>
      <c r="F32" s="16"/>
      <c r="G32" s="17"/>
      <c r="H32" s="18" t="str">
        <f aca="false">IF(AND(F32&lt;&gt;"",G32&lt;&gt;""),F32*G32,"")</f>
        <v/>
      </c>
      <c r="I32" s="4"/>
      <c r="J32" s="16"/>
      <c r="K32" s="14" t="str">
        <f aca="false">"사진 "&amp;A32</f>
        <v>사진 24</v>
      </c>
      <c r="L32" s="16"/>
      <c r="M32" s="4"/>
    </row>
    <row r="33" customFormat="false" ht="16.5" hidden="false" customHeight="true" outlineLevel="0" collapsed="false">
      <c r="A33" s="14" t="n">
        <v>25</v>
      </c>
      <c r="B33" s="15"/>
      <c r="C33" s="4"/>
      <c r="D33" s="4"/>
      <c r="E33" s="4"/>
      <c r="F33" s="16"/>
      <c r="G33" s="17"/>
      <c r="H33" s="18" t="str">
        <f aca="false">IF(AND(F33&lt;&gt;"",G33&lt;&gt;""),F33*G33,"")</f>
        <v/>
      </c>
      <c r="I33" s="4"/>
      <c r="J33" s="16"/>
      <c r="K33" s="14" t="str">
        <f aca="false">"사진 "&amp;A33</f>
        <v>사진 25</v>
      </c>
      <c r="L33" s="16"/>
      <c r="M33" s="4"/>
    </row>
    <row r="34" customFormat="false" ht="16.5" hidden="false" customHeight="true" outlineLevel="0" collapsed="false">
      <c r="A34" s="14" t="n">
        <v>26</v>
      </c>
      <c r="B34" s="15"/>
      <c r="C34" s="4"/>
      <c r="D34" s="4"/>
      <c r="E34" s="4"/>
      <c r="F34" s="16"/>
      <c r="G34" s="17"/>
      <c r="H34" s="18" t="str">
        <f aca="false">IF(AND(F34&lt;&gt;"",G34&lt;&gt;""),F34*G34,"")</f>
        <v/>
      </c>
      <c r="I34" s="4"/>
      <c r="J34" s="16"/>
      <c r="K34" s="14" t="str">
        <f aca="false">"사진 "&amp;A34</f>
        <v>사진 26</v>
      </c>
      <c r="L34" s="16"/>
      <c r="M34" s="4"/>
    </row>
    <row r="35" customFormat="false" ht="16.5" hidden="false" customHeight="true" outlineLevel="0" collapsed="false">
      <c r="A35" s="14" t="n">
        <v>27</v>
      </c>
      <c r="B35" s="15"/>
      <c r="C35" s="4"/>
      <c r="D35" s="4"/>
      <c r="E35" s="4"/>
      <c r="F35" s="16"/>
      <c r="G35" s="17"/>
      <c r="H35" s="18" t="str">
        <f aca="false">IF(AND(F35&lt;&gt;"",G35&lt;&gt;""),F35*G35,"")</f>
        <v/>
      </c>
      <c r="I35" s="4"/>
      <c r="J35" s="16"/>
      <c r="K35" s="14" t="str">
        <f aca="false">"사진 "&amp;A35</f>
        <v>사진 27</v>
      </c>
      <c r="L35" s="16"/>
      <c r="M35" s="4"/>
    </row>
    <row r="36" customFormat="false" ht="16.5" hidden="false" customHeight="true" outlineLevel="0" collapsed="false">
      <c r="A36" s="14" t="n">
        <v>28</v>
      </c>
      <c r="B36" s="15"/>
      <c r="C36" s="4"/>
      <c r="D36" s="4"/>
      <c r="E36" s="4"/>
      <c r="F36" s="16"/>
      <c r="G36" s="17"/>
      <c r="H36" s="18" t="str">
        <f aca="false">IF(AND(F36&lt;&gt;"",G36&lt;&gt;""),F36*G36,"")</f>
        <v/>
      </c>
      <c r="I36" s="4"/>
      <c r="J36" s="16"/>
      <c r="K36" s="14" t="str">
        <f aca="false">"사진 "&amp;A36</f>
        <v>사진 28</v>
      </c>
      <c r="L36" s="16"/>
      <c r="M36" s="4"/>
    </row>
    <row r="37" customFormat="false" ht="16.5" hidden="false" customHeight="true" outlineLevel="0" collapsed="false">
      <c r="A37" s="14" t="n">
        <v>29</v>
      </c>
      <c r="B37" s="15"/>
      <c r="C37" s="4"/>
      <c r="D37" s="4"/>
      <c r="E37" s="4"/>
      <c r="F37" s="16"/>
      <c r="G37" s="17"/>
      <c r="H37" s="18" t="str">
        <f aca="false">IF(AND(F37&lt;&gt;"",G37&lt;&gt;""),F37*G37,"")</f>
        <v/>
      </c>
      <c r="I37" s="4"/>
      <c r="J37" s="16"/>
      <c r="K37" s="14" t="str">
        <f aca="false">"사진 "&amp;A37</f>
        <v>사진 29</v>
      </c>
      <c r="L37" s="16"/>
      <c r="M37" s="4"/>
    </row>
    <row r="38" customFormat="false" ht="16.5" hidden="false" customHeight="true" outlineLevel="0" collapsed="false">
      <c r="A38" s="14" t="n">
        <v>30</v>
      </c>
      <c r="B38" s="15"/>
      <c r="C38" s="4"/>
      <c r="D38" s="4"/>
      <c r="E38" s="4"/>
      <c r="F38" s="16"/>
      <c r="G38" s="17"/>
      <c r="H38" s="18" t="str">
        <f aca="false">IF(AND(F38&lt;&gt;"",G38&lt;&gt;""),F38*G38,"")</f>
        <v/>
      </c>
      <c r="I38" s="4"/>
      <c r="J38" s="16"/>
      <c r="K38" s="14" t="str">
        <f aca="false">"사진 "&amp;A38</f>
        <v>사진 30</v>
      </c>
      <c r="L38" s="16"/>
      <c r="M38" s="4"/>
    </row>
    <row r="39" customFormat="false" ht="16.5" hidden="false" customHeight="true" outlineLevel="0" collapsed="false">
      <c r="A39" s="3" t="s">
        <v>74</v>
      </c>
      <c r="B39" s="3"/>
      <c r="C39" s="3"/>
      <c r="D39" s="3"/>
      <c r="E39" s="3"/>
      <c r="F39" s="3"/>
      <c r="G39" s="3"/>
      <c r="H39" s="21" t="n">
        <f aca="false">SUM(H9:H38)</f>
        <v>130010</v>
      </c>
      <c r="I39" s="3"/>
      <c r="J39" s="3"/>
      <c r="K39" s="3"/>
      <c r="L39" s="3"/>
      <c r="M39" s="3"/>
    </row>
  </sheetData>
  <mergeCells count="6">
    <mergeCell ref="A1:M1"/>
    <mergeCell ref="D2:E2"/>
    <mergeCell ref="A4:B4"/>
    <mergeCell ref="I4:M4"/>
    <mergeCell ref="A5:M5"/>
    <mergeCell ref="A39:G39"/>
  </mergeCells>
  <dataValidations count="1">
    <dataValidation allowBlank="true" errorStyle="stop" operator="between" showDropDown="false" showErrorMessage="false" showInputMessage="false" sqref="L9:L38" type="list">
      <formula1>"O,X"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2"/>
    <col collapsed="false" customWidth="true" hidden="false" outlineLevel="0" max="3" min="3" style="1" width="60"/>
    <col collapsed="false" customWidth="true" hidden="false" outlineLevel="0" max="4" min="4" style="1" width="14"/>
  </cols>
  <sheetData>
    <row r="1" customFormat="false" ht="19.5" hidden="false" customHeight="true" outlineLevel="0" collapsed="false">
      <c r="A1" s="22" t="s">
        <v>75</v>
      </c>
      <c r="B1" s="22"/>
      <c r="C1" s="22"/>
      <c r="D1" s="22"/>
    </row>
    <row r="2" customFormat="false" ht="16.5" hidden="false" customHeight="true" outlineLevel="0" collapsed="false">
      <c r="A2" s="3" t="s">
        <v>15</v>
      </c>
      <c r="B2" s="3" t="s">
        <v>18</v>
      </c>
      <c r="C2" s="3" t="s">
        <v>76</v>
      </c>
      <c r="D2" s="3" t="s">
        <v>77</v>
      </c>
    </row>
    <row r="3" customFormat="false" ht="120" hidden="false" customHeight="true" outlineLevel="0" collapsed="false">
      <c r="A3" s="23" t="n">
        <f aca="false">정산보고서!A9</f>
        <v>1</v>
      </c>
      <c r="B3" s="24" t="str">
        <f aca="false">IF(정산보고서!D9="","",정산보고서!D9)</f>
        <v>말벌포획기 B형 (본체 + 유인액 2병)</v>
      </c>
      <c r="C3" s="16"/>
      <c r="D3" s="15"/>
    </row>
    <row r="4" customFormat="false" ht="120" hidden="false" customHeight="true" outlineLevel="0" collapsed="false">
      <c r="A4" s="23" t="n">
        <f aca="false">정산보고서!A10</f>
        <v>2</v>
      </c>
      <c r="B4" s="24" t="str">
        <f aca="false">IF(정산보고서!D10="","",정산보고서!D10)</f>
        <v>배송비</v>
      </c>
      <c r="C4" s="16"/>
      <c r="D4" s="15"/>
    </row>
    <row r="5" customFormat="false" ht="120" hidden="false" customHeight="true" outlineLevel="0" collapsed="false">
      <c r="A5" s="23" t="n">
        <f aca="false">정산보고서!A11</f>
        <v>3</v>
      </c>
      <c r="B5" s="24" t="str">
        <f aca="false">IF(정산보고서!D11="","",정산보고서!D11)</f>
        <v>라즈베리파이 27W USB-C 아답터 검은색 (공식 정품)</v>
      </c>
      <c r="C5" s="16"/>
      <c r="D5" s="15"/>
    </row>
    <row r="6" customFormat="false" ht="120" hidden="false" customHeight="true" outlineLevel="0" collapsed="false">
      <c r="A6" s="23" t="n">
        <f aca="false">정산보고서!A12</f>
        <v>4</v>
      </c>
      <c r="B6" s="24" t="str">
        <f aca="false">IF(정산보고서!D12="","",정산보고서!D12)</f>
        <v>라즈베리파이5 액티브 쿨러 (정품)</v>
      </c>
      <c r="C6" s="16"/>
      <c r="D6" s="15"/>
    </row>
    <row r="7" customFormat="false" ht="120" hidden="false" customHeight="true" outlineLevel="0" collapsed="false">
      <c r="A7" s="23" t="n">
        <f aca="false">정산보고서!A13</f>
        <v>5</v>
      </c>
      <c r="B7" s="24" t="str">
        <f aca="false">IF(정산보고서!D13="","",정산보고서!D13)</f>
        <v>배송비</v>
      </c>
      <c r="C7" s="16"/>
      <c r="D7" s="15"/>
    </row>
    <row r="8" customFormat="false" ht="120" hidden="false" customHeight="true" outlineLevel="0" collapsed="false">
      <c r="A8" s="23" t="n">
        <f aca="false">정산보고서!A14</f>
        <v>6</v>
      </c>
      <c r="B8" s="24" t="str">
        <f aca="false">IF(정산보고서!D14="","",정산보고서!D14)</f>
        <v>등검은말벌 표본 Vespa velutina — 국산 액침표본</v>
      </c>
      <c r="C8" s="16"/>
      <c r="D8" s="15"/>
    </row>
    <row r="9" customFormat="false" ht="120" hidden="false" customHeight="true" outlineLevel="0" collapsed="false">
      <c r="A9" s="23" t="n">
        <f aca="false">정산보고서!A15</f>
        <v>7</v>
      </c>
      <c r="B9" s="24" t="str">
        <f aca="false">IF(정산보고서!D15="","",정산보고서!D15)</f>
        <v>배송비</v>
      </c>
      <c r="C9" s="16"/>
      <c r="D9" s="15"/>
    </row>
    <row r="10" customFormat="false" ht="120" hidden="false" customHeight="true" outlineLevel="0" collapsed="false">
      <c r="A10" s="23" t="n">
        <f aca="false">정산보고서!A16</f>
        <v>8</v>
      </c>
      <c r="B10" s="24" t="str">
        <f aca="false">IF(정산보고서!D16="","",정산보고서!D16)</f>
        <v>월드크린 테프론 테이프 4m</v>
      </c>
      <c r="C10" s="16"/>
      <c r="D10" s="15"/>
    </row>
    <row r="11" customFormat="false" ht="120" hidden="false" customHeight="true" outlineLevel="0" collapsed="false">
      <c r="A11" s="23" t="n">
        <f aca="false">정산보고서!A17</f>
        <v>9</v>
      </c>
      <c r="B11" s="24" t="str">
        <f aca="false">IF(정산보고서!D17="","",정산보고서!D17)</f>
        <v>샤피 크리에이티브 수성 마커 총알팁 12색</v>
      </c>
      <c r="C11" s="16"/>
      <c r="D11" s="15"/>
    </row>
    <row r="12" customFormat="false" ht="120" hidden="false" customHeight="true" outlineLevel="0" collapsed="false">
      <c r="A12" s="23" t="n">
        <f aca="false">정산보고서!A18</f>
        <v>10</v>
      </c>
      <c r="B12" s="24" t="str">
        <f aca="false">IF(정산보고서!D18="","",정산보고서!D18)</f>
        <v/>
      </c>
      <c r="C12" s="16"/>
      <c r="D12" s="15"/>
    </row>
    <row r="13" customFormat="false" ht="120" hidden="false" customHeight="true" outlineLevel="0" collapsed="false">
      <c r="A13" s="23" t="n">
        <f aca="false">정산보고서!A19</f>
        <v>11</v>
      </c>
      <c r="B13" s="24" t="str">
        <f aca="false">IF(정산보고서!D19="","",정산보고서!D19)</f>
        <v/>
      </c>
      <c r="C13" s="16"/>
      <c r="D13" s="15"/>
    </row>
    <row r="14" customFormat="false" ht="120" hidden="false" customHeight="true" outlineLevel="0" collapsed="false">
      <c r="A14" s="23" t="n">
        <f aca="false">정산보고서!A20</f>
        <v>12</v>
      </c>
      <c r="B14" s="24" t="str">
        <f aca="false">IF(정산보고서!D20="","",정산보고서!D20)</f>
        <v/>
      </c>
      <c r="C14" s="16"/>
      <c r="D14" s="15"/>
    </row>
    <row r="15" customFormat="false" ht="120" hidden="false" customHeight="true" outlineLevel="0" collapsed="false">
      <c r="A15" s="23" t="n">
        <f aca="false">정산보고서!A21</f>
        <v>13</v>
      </c>
      <c r="B15" s="24" t="str">
        <f aca="false">IF(정산보고서!D21="","",정산보고서!D21)</f>
        <v/>
      </c>
      <c r="C15" s="16"/>
      <c r="D15" s="15"/>
    </row>
    <row r="16" customFormat="false" ht="120" hidden="false" customHeight="true" outlineLevel="0" collapsed="false">
      <c r="A16" s="23" t="n">
        <f aca="false">정산보고서!A22</f>
        <v>14</v>
      </c>
      <c r="B16" s="24" t="str">
        <f aca="false">IF(정산보고서!D22="","",정산보고서!D22)</f>
        <v/>
      </c>
      <c r="C16" s="16"/>
      <c r="D16" s="15"/>
    </row>
    <row r="17" customFormat="false" ht="120" hidden="false" customHeight="true" outlineLevel="0" collapsed="false">
      <c r="A17" s="23" t="n">
        <f aca="false">정산보고서!A23</f>
        <v>15</v>
      </c>
      <c r="B17" s="24" t="str">
        <f aca="false">IF(정산보고서!D23="","",정산보고서!D23)</f>
        <v/>
      </c>
      <c r="C17" s="16"/>
      <c r="D17" s="15"/>
    </row>
    <row r="18" customFormat="false" ht="120" hidden="false" customHeight="true" outlineLevel="0" collapsed="false">
      <c r="A18" s="23" t="n">
        <f aca="false">정산보고서!A24</f>
        <v>16</v>
      </c>
      <c r="B18" s="24" t="str">
        <f aca="false">IF(정산보고서!D24="","",정산보고서!D24)</f>
        <v/>
      </c>
      <c r="C18" s="16"/>
      <c r="D18" s="15"/>
    </row>
    <row r="19" customFormat="false" ht="120" hidden="false" customHeight="true" outlineLevel="0" collapsed="false">
      <c r="A19" s="23" t="n">
        <f aca="false">정산보고서!A25</f>
        <v>17</v>
      </c>
      <c r="B19" s="24" t="str">
        <f aca="false">IF(정산보고서!D25="","",정산보고서!D25)</f>
        <v/>
      </c>
      <c r="C19" s="16"/>
      <c r="D19" s="15"/>
    </row>
    <row r="20" customFormat="false" ht="120" hidden="false" customHeight="true" outlineLevel="0" collapsed="false">
      <c r="A20" s="23" t="n">
        <f aca="false">정산보고서!A26</f>
        <v>18</v>
      </c>
      <c r="B20" s="24" t="str">
        <f aca="false">IF(정산보고서!D26="","",정산보고서!D26)</f>
        <v/>
      </c>
      <c r="C20" s="16"/>
      <c r="D20" s="15"/>
    </row>
    <row r="21" customFormat="false" ht="120" hidden="false" customHeight="true" outlineLevel="0" collapsed="false">
      <c r="A21" s="23" t="n">
        <f aca="false">정산보고서!A27</f>
        <v>19</v>
      </c>
      <c r="B21" s="24" t="str">
        <f aca="false">IF(정산보고서!D27="","",정산보고서!D27)</f>
        <v/>
      </c>
      <c r="C21" s="16"/>
      <c r="D21" s="15"/>
    </row>
    <row r="22" customFormat="false" ht="120" hidden="false" customHeight="true" outlineLevel="0" collapsed="false">
      <c r="A22" s="23" t="n">
        <f aca="false">정산보고서!A28</f>
        <v>20</v>
      </c>
      <c r="B22" s="24" t="str">
        <f aca="false">IF(정산보고서!D28="","",정산보고서!D28)</f>
        <v/>
      </c>
      <c r="C22" s="16"/>
      <c r="D22" s="15"/>
    </row>
    <row r="23" customFormat="false" ht="120" hidden="false" customHeight="true" outlineLevel="0" collapsed="false">
      <c r="A23" s="23" t="n">
        <f aca="false">정산보고서!A29</f>
        <v>21</v>
      </c>
      <c r="B23" s="24" t="str">
        <f aca="false">IF(정산보고서!D29="","",정산보고서!D29)</f>
        <v/>
      </c>
      <c r="C23" s="16"/>
      <c r="D23" s="15"/>
    </row>
    <row r="24" customFormat="false" ht="120" hidden="false" customHeight="true" outlineLevel="0" collapsed="false">
      <c r="A24" s="23" t="n">
        <f aca="false">정산보고서!A30</f>
        <v>22</v>
      </c>
      <c r="B24" s="24" t="str">
        <f aca="false">IF(정산보고서!D30="","",정산보고서!D30)</f>
        <v/>
      </c>
      <c r="C24" s="16"/>
      <c r="D24" s="15"/>
    </row>
    <row r="25" customFormat="false" ht="120" hidden="false" customHeight="true" outlineLevel="0" collapsed="false">
      <c r="A25" s="23" t="n">
        <f aca="false">정산보고서!A31</f>
        <v>23</v>
      </c>
      <c r="B25" s="24" t="str">
        <f aca="false">IF(정산보고서!D31="","",정산보고서!D31)</f>
        <v/>
      </c>
      <c r="C25" s="16"/>
      <c r="D25" s="15"/>
    </row>
    <row r="26" customFormat="false" ht="120" hidden="false" customHeight="true" outlineLevel="0" collapsed="false">
      <c r="A26" s="23" t="n">
        <f aca="false">정산보고서!A32</f>
        <v>24</v>
      </c>
      <c r="B26" s="24" t="str">
        <f aca="false">IF(정산보고서!D32="","",정산보고서!D32)</f>
        <v/>
      </c>
      <c r="C26" s="16"/>
      <c r="D26" s="15"/>
    </row>
    <row r="27" customFormat="false" ht="120" hidden="false" customHeight="true" outlineLevel="0" collapsed="false">
      <c r="A27" s="23" t="n">
        <f aca="false">정산보고서!A33</f>
        <v>25</v>
      </c>
      <c r="B27" s="24" t="str">
        <f aca="false">IF(정산보고서!D33="","",정산보고서!D33)</f>
        <v/>
      </c>
      <c r="C27" s="16"/>
      <c r="D27" s="15"/>
    </row>
    <row r="28" customFormat="false" ht="120" hidden="false" customHeight="true" outlineLevel="0" collapsed="false">
      <c r="A28" s="23" t="n">
        <f aca="false">정산보고서!A34</f>
        <v>26</v>
      </c>
      <c r="B28" s="24" t="str">
        <f aca="false">IF(정산보고서!D34="","",정산보고서!D34)</f>
        <v/>
      </c>
      <c r="C28" s="16"/>
      <c r="D28" s="15"/>
    </row>
    <row r="29" customFormat="false" ht="120" hidden="false" customHeight="true" outlineLevel="0" collapsed="false">
      <c r="A29" s="23" t="n">
        <f aca="false">정산보고서!A35</f>
        <v>27</v>
      </c>
      <c r="B29" s="24" t="str">
        <f aca="false">IF(정산보고서!D35="","",정산보고서!D35)</f>
        <v/>
      </c>
      <c r="C29" s="16"/>
      <c r="D29" s="15"/>
    </row>
    <row r="30" customFormat="false" ht="120" hidden="false" customHeight="true" outlineLevel="0" collapsed="false">
      <c r="A30" s="23" t="n">
        <f aca="false">정산보고서!A36</f>
        <v>28</v>
      </c>
      <c r="B30" s="24" t="str">
        <f aca="false">IF(정산보고서!D36="","",정산보고서!D36)</f>
        <v/>
      </c>
      <c r="C30" s="16"/>
      <c r="D30" s="15"/>
    </row>
    <row r="31" customFormat="false" ht="120" hidden="false" customHeight="true" outlineLevel="0" collapsed="false">
      <c r="A31" s="23" t="n">
        <f aca="false">정산보고서!A37</f>
        <v>29</v>
      </c>
      <c r="B31" s="24" t="str">
        <f aca="false">IF(정산보고서!D37="","",정산보고서!D37)</f>
        <v/>
      </c>
      <c r="C31" s="16"/>
      <c r="D31" s="15"/>
    </row>
    <row r="32" customFormat="false" ht="120" hidden="false" customHeight="true" outlineLevel="0" collapsed="false">
      <c r="A32" s="23" t="n">
        <f aca="false">정산보고서!A38</f>
        <v>30</v>
      </c>
      <c r="B32" s="24" t="str">
        <f aca="false">IF(정산보고서!D38="","",정산보고서!D38)</f>
        <v/>
      </c>
      <c r="C32" s="16"/>
      <c r="D32" s="15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0"/>
  </cols>
  <sheetData>
    <row r="1" customFormat="false" ht="18.75" hidden="false" customHeight="true" outlineLevel="0" collapsed="false">
      <c r="B1" s="25" t="s">
        <v>78</v>
      </c>
    </row>
    <row r="2" customFormat="false" ht="16.5" hidden="false" customHeight="true" outlineLevel="0" collapsed="false">
      <c r="B2" s="26" t="s">
        <v>79</v>
      </c>
    </row>
    <row r="3" customFormat="false" ht="16.5" hidden="false" customHeight="true" outlineLevel="0" collapsed="false">
      <c r="B3" s="26" t="s">
        <v>80</v>
      </c>
    </row>
    <row r="4" customFormat="false" ht="16.5" hidden="false" customHeight="true" outlineLevel="0" collapsed="false">
      <c r="B4" s="26" t="s">
        <v>81</v>
      </c>
    </row>
    <row r="5" customFormat="false" ht="16.5" hidden="false" customHeight="true" outlineLevel="0" collapsed="false">
      <c r="B5" s="26" t="s">
        <v>82</v>
      </c>
    </row>
    <row r="6" customFormat="false" ht="18.75" hidden="false" customHeight="true" outlineLevel="0" collapsed="false">
      <c r="B6" s="25" t="s">
        <v>83</v>
      </c>
    </row>
    <row r="7" customFormat="false" ht="16.5" hidden="false" customHeight="true" outlineLevel="0" collapsed="false">
      <c r="B7" s="26" t="s">
        <v>84</v>
      </c>
    </row>
    <row r="8" customFormat="false" ht="18.75" hidden="false" customHeight="true" outlineLevel="0" collapsed="false">
      <c r="B8" s="25" t="s">
        <v>85</v>
      </c>
    </row>
    <row r="9" customFormat="false" ht="16.5" hidden="false" customHeight="true" outlineLevel="0" collapsed="false">
      <c r="B9" s="26" t="s">
        <v>86</v>
      </c>
    </row>
    <row r="10" customFormat="false" ht="32.25" hidden="false" customHeight="true" outlineLevel="0" collapsed="false">
      <c r="B10" s="26" t="s">
        <v>87</v>
      </c>
    </row>
    <row r="11" customFormat="false" ht="18.75" hidden="false" customHeight="true" outlineLevel="0" collapsed="false">
      <c r="B11" s="25" t="s">
        <v>88</v>
      </c>
    </row>
    <row r="12" customFormat="false" ht="16.5" hidden="false" customHeight="true" outlineLevel="0" collapsed="false">
      <c r="B12" s="26" t="s">
        <v>89</v>
      </c>
    </row>
    <row r="13" customFormat="false" ht="16.5" hidden="false" customHeight="true" outlineLevel="0" collapsed="false">
      <c r="B13" s="26" t="s">
        <v>90</v>
      </c>
    </row>
    <row r="14" customFormat="false" ht="18.75" hidden="false" customHeight="true" outlineLevel="0" collapsed="false">
      <c r="B14" s="25" t="s">
        <v>91</v>
      </c>
    </row>
    <row r="15" customFormat="false" ht="16.5" hidden="false" customHeight="true" outlineLevel="0" collapsed="false">
      <c r="B15" s="26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2026-10-28T11:50:22Z</dcterms:created>
  <dc:creator>openpyxl</dc:creator>
  <dc:description/>
  <dc:language>en-US</dc:language>
  <cp:lastModifiedBy/>
  <dcterms:modified xsi:type="dcterms:W3CDTF">2026-10-29T12:00:31Z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